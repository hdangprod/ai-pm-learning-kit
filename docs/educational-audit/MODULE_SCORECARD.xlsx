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a64ac572f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6d53b686fa42f4"/>
    <x:sheet xmlns:r="http://schemas.openxmlformats.org/officeDocument/2006/relationships" name="Ratings" sheetId="2" r:id="R2fa99659012e47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6">
    <x:font>
      <x:sz val="11"/>
      <x:name val="Carlito"/>
    </x:font>
    <x:font>
      <x:sz val="11"/>
      <x:color rgb="FF243247"/>
      <x:name val="Arial"/>
    </x:font>
    <x:font>
      <x:b/>
      <x:sz val="16"/>
      <x:color rgb="FF243247"/>
      <x:name val="Arial"/>
    </x:font>
    <x:font>
      <x:i/>
      <x:sz val="10"/>
      <x:color rgb="FF586575"/>
      <x:name val="Arial"/>
    </x:font>
    <x:font>
      <x:b/>
      <x:sz val="11"/>
      <x:color rgb="FFFFFFFF"/>
      <x:name val="Arial"/>
    </x:font>
    <x:font>
      <x:b/>
      <x:sz val="11"/>
      <x:color rgb="FF2432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D57"/>
      </x:patternFill>
    </x:fill>
    <x:fill>
      <x:patternFill patternType="solid">
        <x:fgColor rgb="FFFFF1D4"/>
      </x:patternFill>
    </x:fill>
    <x:fill>
      <x:patternFill patternType="solid">
        <x:fgColor rgb="FFEDF2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ADA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/>
    </x:xf>
    <x:xf numFmtId="200" fontId="1" fillId="3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1" fontId="5" fillId="4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right" vertical="top"/>
    </x:xf>
    <x:xf numFmtId="0" fontId="1" fillId="0" borderId="0" xfId="0" applyNumberFormat="1" applyFont="1" applyFill="1" applyBorder="1" applyAlignment="1">
      <x:alignment horizontal="right" vertical="top"/>
    </x:xf>
    <x:xf numFmtId="201" fontId="1" fillId="0" borderId="0" xfId="0" applyNumberFormat="1" applyFont="1" applyFill="1" applyBorder="1" applyAlignment="1">
      <x:alignment horizontal="right" vertical="top"/>
    </x:xf>
    <x:xf numFmtId="201" fontId="5" fillId="4" borderId="0" xfId="0" applyNumberFormat="1" applyFont="1" applyFill="1" applyBorder="1" applyAlignment="1">
      <x:alignment horizontal="right" vertical="top"/>
    </x:xf>
    <x:xf numFmtId="0" fontId="5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27c766ec7049ef" /><Relationship Type="http://schemas.openxmlformats.org/officeDocument/2006/relationships/theme" Target="/xl/theme/theme1.xml" Id="R4bef70ecf0204198" /><Relationship Type="http://schemas.openxmlformats.org/officeDocument/2006/relationships/sharedStrings" Target="/xl/sharedStrings.xml" Id="R44c63dd755c64aac" /><Relationship Type="http://schemas.openxmlformats.org/officeDocument/2006/relationships/worksheet" Target="/xl/worksheets/sheet1.xml" Id="Rbe6d53b686fa42f4" /><Relationship Type="http://schemas.openxmlformats.org/officeDocument/2006/relationships/worksheet" Target="/xl/worksheets/sheet2.xml" Id="R2fa99659012e4722" /></Relationships>
</file>

<file path=xl/tables/table1.xml><?xml version="1.0" encoding="utf-8"?>
<x:table xmlns:x="http://schemas.openxmlformats.org/spreadsheetml/2006/main" id="1" name="RatingEvidence" displayName="RatingEvidence" ref="A6:I48" headerRowCount="1" totalsRowCount="0" totalsRowShown="0">
  <x:tableColumns count="9">
    <x:tableColumn id="1" name="ID"/>
    <x:tableColumn id="2" name="Module"/>
    <x:tableColumn id="3" name="Dimension"/>
    <x:tableColumn id="4" name="Score /5"/>
    <x:tableColumn id="5" name="Justification"/>
    <x:tableColumn id="6" name="Evidence locator trong docs.zip"/>
    <x:tableColumn id="7" name="Limitation"/>
    <x:tableColumn id="8" name="Điều gì thay đổi điểm"/>
    <x:tableColumn id="9" name="Conf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9892bab58248bf" /></Relationships>
</file>

<file path=xl/worksheets/sheet1.xml><?xml version="1.0" encoding="utf-8"?>
<x:worksheet xmlns:x="http://schemas.openxmlformats.org/spreadsheetml/2006/main">
  <x:sheetPr>
    <x:tabColor rgb="FF263D57"/>
  </x:sheetPr>
  <x:sheetViews>
    <x:sheetView showGridLines="0" workbookViewId="0"/>
  </x:sheetViews>
  <x:sheetFormatPr defaultRowHeight="15"/>
  <x:cols>
    <x:col min="1" max="1" width="48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Module scorecard — static design review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 t="str">
        <x:v>19/10/2026 | Thang 0–5; weighted /100; provisional, không phải learner outcome.</x:v>
      </x:c>
      <x:c r="B3" s="2"/>
      <x:c r="C3" s="2"/>
      <x:c r="D3" s="2"/>
      <x:c r="E3" s="2"/>
      <x:c r="F3" s="2"/>
      <x:c r="G3" s="2"/>
      <x:c r="H3" s="2"/>
      <x:c r="I3" s="2"/>
    </x:row>
    <x:row r="4" ht="38" customHeight="1">
      <x:c r="A4" s="10" t="str">
        <x:v>Module</x:v>
      </x:c>
      <x:c r="B4" s="10" t="str">
        <x:v>A</x:v>
      </x:c>
      <x:c r="C4" s="10" t="str">
        <x:v>B</x:v>
      </x:c>
      <x:c r="D4" s="10" t="str">
        <x:v>C</x:v>
      </x:c>
      <x:c r="E4" s="10" t="str">
        <x:v>D</x:v>
      </x:c>
      <x:c r="F4" s="10" t="str">
        <x:v>E</x:v>
      </x:c>
      <x:c r="G4" s="10" t="str">
        <x:v>F</x:v>
      </x:c>
      <x:c r="H4" s="10" t="str">
        <x:v>G</x:v>
      </x:c>
      <x:c r="I4" s="10" t="str">
        <x:v>Weighted /100</x:v>
      </x:c>
    </x:row>
    <x:row r="5" ht="24" customHeight="1">
      <x:c r="A5" s="2" t="str">
        <x:v>Weight</x:v>
      </x:c>
      <x:c r="B5" s="19" t="n">
        <x:v>0.2</x:v>
      </x:c>
      <x:c r="C5" s="19" t="n">
        <x:v>0.2</x:v>
      </x:c>
      <x:c r="D5" s="19" t="n">
        <x:v>0.15</x:v>
      </x:c>
      <x:c r="E5" s="19" t="n">
        <x:v>0.15</x:v>
      </x:c>
      <x:c r="F5" s="19" t="n">
        <x:v>0.1</x:v>
      </x:c>
      <x:c r="G5" s="19" t="n">
        <x:v>0.1</x:v>
      </x:c>
      <x:c r="H5" s="19" t="n">
        <x:v>0.1</x:v>
      </x:c>
      <x:c r="I5" s="20"/>
    </x:row>
    <x:row r="6" ht="45" customHeight="1">
      <x:c r="A6" s="17" t="str">
        <x:v>M1 Data Literacy</x:v>
      </x:c>
      <x:c r="B6" s="21" t="n">
        <x:f>IF(ISNUMBER(Ratings!D7),Ratings!D7,"NE")</x:f>
        <x:v>4</x:v>
      </x:c>
      <x:c r="C6" s="21" t="n">
        <x:f>IF(ISNUMBER(Ratings!D8),Ratings!D8,"NE")</x:f>
        <x:v>2</x:v>
      </x:c>
      <x:c r="D6" s="21" t="n">
        <x:f>IF(ISNUMBER(Ratings!D9),Ratings!D9,"NE")</x:f>
        <x:v>1.5</x:v>
      </x:c>
      <x:c r="E6" s="21" t="n">
        <x:f>IF(ISNUMBER(Ratings!D10),Ratings!D10,"NE")</x:f>
        <x:v>3.5</x:v>
      </x:c>
      <x:c r="F6" s="21" t="n">
        <x:f>IF(ISNUMBER(Ratings!D11),Ratings!D11,"NE")</x:f>
        <x:v>4</x:v>
      </x:c>
      <x:c r="G6" s="21" t="n">
        <x:f>IF(ISNUMBER(Ratings!D12),Ratings!D12,"NE")</x:f>
        <x:v>3</x:v>
      </x:c>
      <x:c r="H6" s="21" t="n">
        <x:f>IF(ISNUMBER(Ratings!D13),Ratings!D13,"NE")</x:f>
        <x:v>4</x:v>
      </x:c>
      <x:c r="I6" s="21" t="n">
        <x:f>IF(COUNT(B6:H6)&lt;7,"NE",SUMPRODUCT(B6:H6,$B$5:$H$5)/5*100)</x:f>
        <x:v>61.00000000000001</x:v>
      </x:c>
    </x:row>
    <x:row r="7" ht="45" customHeight="1">
      <x:c r="A7" s="17" t="str">
        <x:v>M2 Funnel Analysis</x:v>
      </x:c>
      <x:c r="B7" s="21" t="n">
        <x:f>IF(ISNUMBER(Ratings!D14),Ratings!D14,"NE")</x:f>
        <x:v>4</x:v>
      </x:c>
      <x:c r="C7" s="21" t="n">
        <x:f>IF(ISNUMBER(Ratings!D15),Ratings!D15,"NE")</x:f>
        <x:v>2</x:v>
      </x:c>
      <x:c r="D7" s="21" t="n">
        <x:f>IF(ISNUMBER(Ratings!D16),Ratings!D16,"NE")</x:f>
        <x:v>1.5</x:v>
      </x:c>
      <x:c r="E7" s="21" t="n">
        <x:f>IF(ISNUMBER(Ratings!D17),Ratings!D17,"NE")</x:f>
        <x:v>3.5</x:v>
      </x:c>
      <x:c r="F7" s="21" t="n">
        <x:f>IF(ISNUMBER(Ratings!D18),Ratings!D18,"NE")</x:f>
        <x:v>4</x:v>
      </x:c>
      <x:c r="G7" s="21" t="n">
        <x:f>IF(ISNUMBER(Ratings!D19),Ratings!D19,"NE")</x:f>
        <x:v>3</x:v>
      </x:c>
      <x:c r="H7" s="21" t="n">
        <x:f>IF(ISNUMBER(Ratings!D20),Ratings!D20,"NE")</x:f>
        <x:v>3.5</x:v>
      </x:c>
      <x:c r="I7" s="21" t="n">
        <x:f>IF(COUNT(B7:H7)&lt;7,"NE",SUMPRODUCT(B7:H7,$B$5:$H$5)/5*100)</x:f>
        <x:v>60.00000000000001</x:v>
      </x:c>
    </x:row>
    <x:row r="8" ht="45" customHeight="1">
      <x:c r="A8" s="17" t="str">
        <x:v>M3 Cohort &amp; Retention</x:v>
      </x:c>
      <x:c r="B8" s="21" t="n">
        <x:f>IF(ISNUMBER(Ratings!D21),Ratings!D21,"NE")</x:f>
        <x:v>4</x:v>
      </x:c>
      <x:c r="C8" s="21" t="n">
        <x:f>IF(ISNUMBER(Ratings!D22),Ratings!D22,"NE")</x:f>
        <x:v>2</x:v>
      </x:c>
      <x:c r="D8" s="21" t="n">
        <x:f>IF(ISNUMBER(Ratings!D23),Ratings!D23,"NE")</x:f>
        <x:v>1.5</x:v>
      </x:c>
      <x:c r="E8" s="21" t="n">
        <x:f>IF(ISNUMBER(Ratings!D24),Ratings!D24,"NE")</x:f>
        <x:v>3.5</x:v>
      </x:c>
      <x:c r="F8" s="21" t="n">
        <x:f>IF(ISNUMBER(Ratings!D25),Ratings!D25,"NE")</x:f>
        <x:v>4</x:v>
      </x:c>
      <x:c r="G8" s="21" t="n">
        <x:f>IF(ISNUMBER(Ratings!D26),Ratings!D26,"NE")</x:f>
        <x:v>3</x:v>
      </x:c>
      <x:c r="H8" s="21" t="n">
        <x:f>IF(ISNUMBER(Ratings!D27),Ratings!D27,"NE")</x:f>
        <x:v>3.5</x:v>
      </x:c>
      <x:c r="I8" s="21" t="n">
        <x:f>IF(COUNT(B8:H8)&lt;7,"NE",SUMPRODUCT(B8:H8,$B$5:$H$5)/5*100)</x:f>
        <x:v>60.00000000000001</x:v>
      </x:c>
    </x:row>
    <x:row r="9" ht="45" customHeight="1">
      <x:c r="A9" s="17" t="str">
        <x:v>M4 Segmentation &amp; Simpson's Paradox</x:v>
      </x:c>
      <x:c r="B9" s="21" t="n">
        <x:f>IF(ISNUMBER(Ratings!D28),Ratings!D28,"NE")</x:f>
        <x:v>4</x:v>
      </x:c>
      <x:c r="C9" s="21" t="n">
        <x:f>IF(ISNUMBER(Ratings!D29),Ratings!D29,"NE")</x:f>
        <x:v>2</x:v>
      </x:c>
      <x:c r="D9" s="21" t="n">
        <x:f>IF(ISNUMBER(Ratings!D30),Ratings!D30,"NE")</x:f>
        <x:v>1.5</x:v>
      </x:c>
      <x:c r="E9" s="21" t="n">
        <x:f>IF(ISNUMBER(Ratings!D31),Ratings!D31,"NE")</x:f>
        <x:v>3.5</x:v>
      </x:c>
      <x:c r="F9" s="21" t="n">
        <x:f>IF(ISNUMBER(Ratings!D32),Ratings!D32,"NE")</x:f>
        <x:v>4.5</x:v>
      </x:c>
      <x:c r="G9" s="21" t="n">
        <x:f>IF(ISNUMBER(Ratings!D33),Ratings!D33,"NE")</x:f>
        <x:v>3</x:v>
      </x:c>
      <x:c r="H9" s="21" t="n">
        <x:f>IF(ISNUMBER(Ratings!D34),Ratings!D34,"NE")</x:f>
        <x:v>3.5</x:v>
      </x:c>
      <x:c r="I9" s="21" t="n">
        <x:f>IF(COUNT(B9:H9)&lt;7,"NE",SUMPRODUCT(B9:H9,$B$5:$H$5)/5*100)</x:f>
        <x:v>61.00000000000001</x:v>
      </x:c>
    </x:row>
    <x:row r="10" ht="45" customHeight="1">
      <x:c r="A10" s="17" t="str">
        <x:v>M5 Correlation &amp; Causation</x:v>
      </x:c>
      <x:c r="B10" s="21" t="n">
        <x:f>IF(ISNUMBER(Ratings!D35),Ratings!D35,"NE")</x:f>
        <x:v>4</x:v>
      </x:c>
      <x:c r="C10" s="21" t="n">
        <x:f>IF(ISNUMBER(Ratings!D36),Ratings!D36,"NE")</x:f>
        <x:v>2</x:v>
      </x:c>
      <x:c r="D10" s="21" t="n">
        <x:f>IF(ISNUMBER(Ratings!D37),Ratings!D37,"NE")</x:f>
        <x:v>2</x:v>
      </x:c>
      <x:c r="E10" s="21" t="n">
        <x:f>IF(ISNUMBER(Ratings!D38),Ratings!D38,"NE")</x:f>
        <x:v>3</x:v>
      </x:c>
      <x:c r="F10" s="21" t="n">
        <x:f>IF(ISNUMBER(Ratings!D39),Ratings!D39,"NE")</x:f>
        <x:v>4.5</x:v>
      </x:c>
      <x:c r="G10" s="21" t="n">
        <x:f>IF(ISNUMBER(Ratings!D40),Ratings!D40,"NE")</x:f>
        <x:v>3</x:v>
      </x:c>
      <x:c r="H10" s="21" t="n">
        <x:f>IF(ISNUMBER(Ratings!D41),Ratings!D41,"NE")</x:f>
        <x:v>4</x:v>
      </x:c>
      <x:c r="I10" s="21" t="n">
        <x:f>IF(COUNT(B10:H10)&lt;7,"NE",SUMPRODUCT(B10:H10,$B$5:$H$5)/5*100)</x:f>
        <x:v>62</x:v>
      </x:c>
    </x:row>
    <x:row r="11" ht="45" customHeight="1">
      <x:c r="A11" s="17" t="str">
        <x:v>M6 Evidence-Based Product Decisions</x:v>
      </x:c>
      <x:c r="B11" s="21" t="n">
        <x:f>IF(ISNUMBER(Ratings!D42),Ratings!D42,"NE")</x:f>
        <x:v>4</x:v>
      </x:c>
      <x:c r="C11" s="21" t="n">
        <x:f>IF(ISNUMBER(Ratings!D43),Ratings!D43,"NE")</x:f>
        <x:v>1.5</x:v>
      </x:c>
      <x:c r="D11" s="21" t="n">
        <x:f>IF(ISNUMBER(Ratings!D44),Ratings!D44,"NE")</x:f>
        <x:v>2.5</x:v>
      </x:c>
      <x:c r="E11" s="21" t="n">
        <x:f>IF(ISNUMBER(Ratings!D45),Ratings!D45,"NE")</x:f>
        <x:v>3</x:v>
      </x:c>
      <x:c r="F11" s="21" t="n">
        <x:f>IF(ISNUMBER(Ratings!D46),Ratings!D46,"NE")</x:f>
        <x:v>4</x:v>
      </x:c>
      <x:c r="G11" s="21" t="n">
        <x:f>IF(ISNUMBER(Ratings!D47),Ratings!D47,"NE")</x:f>
        <x:v>2.5</x:v>
      </x:c>
      <x:c r="H11" s="21" t="n">
        <x:f>IF(ISNUMBER(Ratings!D48),Ratings!D48,"NE")</x:f>
        <x:v>4</x:v>
      </x:c>
      <x:c r="I11" s="21" t="n">
        <x:f>IF(COUNT(B11:H11)&lt;7,"NE",SUMPRODUCT(B11:H11,$B$5:$H$5)/5*100)</x:f>
        <x:v>59.5</x:v>
      </x:c>
    </x:row>
    <x:row r="12" ht="45" customHeight="1">
      <x:c r="A12" s="18" t="str">
        <x:v>Overall, equal module weights</x:v>
      </x:c>
      <x:c r="B12" s="22" t="n">
        <x:f>IF(COUNT(B6:B11)&lt;6,"NE",AVERAGE(B6:B11))</x:f>
        <x:v>4</x:v>
      </x:c>
      <x:c r="C12" s="22" t="n">
        <x:f>IF(COUNT(C6:C11)&lt;6,"NE",AVERAGE(C6:C11))</x:f>
        <x:v>1.9166666666666667</x:v>
      </x:c>
      <x:c r="D12" s="22" t="n">
        <x:f>IF(COUNT(D6:D11)&lt;6,"NE",AVERAGE(D6:D11))</x:f>
        <x:v>1.75</x:v>
      </x:c>
      <x:c r="E12" s="22" t="n">
        <x:f>IF(COUNT(E6:E11)&lt;6,"NE",AVERAGE(E6:E11))</x:f>
        <x:v>3.3333333333333335</x:v>
      </x:c>
      <x:c r="F12" s="22" t="n">
        <x:f>IF(COUNT(F6:F11)&lt;6,"NE",AVERAGE(F6:F11))</x:f>
        <x:v>4.166666666666667</x:v>
      </x:c>
      <x:c r="G12" s="22" t="n">
        <x:f>IF(COUNT(G6:G11)&lt;6,"NE",AVERAGE(G6:G11))</x:f>
        <x:v>2.9166666666666665</x:v>
      </x:c>
      <x:c r="H12" s="22" t="n">
        <x:f>IF(COUNT(H6:H11)&lt;6,"NE",AVERAGE(H6:H11))</x:f>
        <x:v>3.75</x:v>
      </x:c>
      <x:c r="I12" s="22" t="n">
        <x:f>IF(COUNT(I6:I11)&lt;6,"NE",AVERAGE(I6:I11))</x:f>
        <x:v>60.583333333333336</x:v>
      </x:c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4" customHeight="1">
      <x:c r="A15" s="23" t="str">
        <x:v>Thang điểm và phạm vi</x:v>
      </x:c>
      <x:c r="B15" s="2"/>
      <x:c r="C15" s="2"/>
      <x:c r="D15" s="2"/>
      <x:c r="E15" s="2"/>
      <x:c r="F15" s="2"/>
      <x:c r="G15" s="2"/>
      <x:c r="H15" s="2"/>
      <x:c r="I15" s="2"/>
    </x:row>
    <x:row r="16" ht="24" customHeight="1">
      <x:c r="A16" s="2" t="str">
        <x:v>0 sai/nguy hại; 1 rất hẹp; 2 scaffold mạnh; 3 dùng được còn gaps; 4 mạnh trong scope; 5 đầy đủ và được kiểm thích hợp.</x:v>
      </x:c>
      <x:c r="B16" s="2"/>
      <x:c r="C16" s="2"/>
      <x:c r="D16" s="2"/>
      <x:c r="E16" s="2"/>
      <x:c r="F16" s="2"/>
      <x:c r="G16" s="2"/>
      <x:c r="H16" s="2"/>
      <x:c r="I16" s="2"/>
    </x:row>
    <x:row r="17" ht="24" customHeight="1">
      <x:c r="A17" s="2" t="str">
        <x:v>Điểm được sửa tại Ratings!D7:D48 (ô vàng). Weights B5:H5 theo yêu cầu; tổng phải là 100%.</x:v>
      </x:c>
      <x:c r="B17" s="2"/>
      <x:c r="C17" s="2"/>
      <x:c r="D17" s="2"/>
      <x:c r="E17" s="2"/>
      <x:c r="F17" s="2"/>
      <x:c r="G17" s="2"/>
      <x:c r="H17" s="2"/>
      <x:c r="I17" s="2"/>
    </x:row>
    <x:row r="18" ht="24" customHeight="1">
      <x:c r="A18" s="2" t="str">
        <x:v>A Conceptual Accuracy 20%; B Assessment Validity 20%; C Learning Transfer 15%; D Learning Experience 15%.</x:v>
      </x:c>
      <x:c r="B18" s="2"/>
      <x:c r="C18" s="2"/>
      <x:c r="D18" s="2"/>
      <x:c r="E18" s="2"/>
      <x:c r="F18" s="2"/>
      <x:c r="G18" s="2"/>
      <x:c r="H18" s="2"/>
      <x:c r="I18" s="2"/>
    </x:row>
    <x:row r="19" ht="24" customHeight="1">
      <x:c r="A19" s="2" t="str">
        <x:v>E Evidence Provenance 10%; F UX &amp; Accessibility 10%; G Curriculum Alignment 10%.</x:v>
      </x:c>
      <x:c r="B19" s="2"/>
      <x:c r="C19" s="2"/>
      <x:c r="D19" s="2"/>
      <x:c r="E19" s="2"/>
      <x:c r="F19" s="2"/>
      <x:c r="G19" s="2"/>
      <x:c r="H19" s="2"/>
      <x:c r="I19" s="2"/>
    </x:row>
    <x:row r="20" ht="24" customHeight="1">
      <x:c r="A20" s="2" t="str">
        <x:v>Source/rationale/limitation/điều kiện thay đổi từng điểm ở Ratings. Unknown runtime không được nhập như zero.</x:v>
      </x:c>
      <x:c r="B20" s="2"/>
      <x:c r="C20" s="2"/>
      <x:c r="D20" s="2"/>
      <x:c r="E20" s="2"/>
      <x:c r="F20" s="2"/>
      <x:c r="G20" s="2"/>
      <x:c r="H20" s="2"/>
      <x:c r="I20" s="2"/>
    </x:row>
    <x:row r="21" ht="24" customHeight="1">
      <x:c r="A21" s="2" t="str">
        <x:v>Software: logs hỗ trợ 215/46 developer-reported; chưa rerun. Educational effectiveness và delayed transfer: NE.</x:v>
      </x:c>
      <x:c r="B21" s="2"/>
      <x:c r="C21" s="2"/>
      <x:c r="D21" s="2"/>
      <x:c r="E21" s="2"/>
      <x:c r="F21" s="2"/>
      <x:c r="G21" s="2"/>
      <x:c r="H21" s="2"/>
      <x:c r="I21" s="2"/>
    </x:row>
    <x:row r="22" ht="24" customHeight="1">
      <x:c r="A22" s="2" t="str">
        <x:v>Overall là expert appraisal của thiết kế trong gói; không dùng làm release gate hoặc % hiệu quả học tập.</x:v>
      </x:c>
      <x:c r="B22" s="2"/>
      <x:c r="C22" s="2"/>
      <x:c r="D22" s="2"/>
      <x:c r="E22" s="2"/>
      <x:c r="F22" s="2"/>
      <x:c r="G22" s="2"/>
      <x:c r="H22" s="2"/>
      <x:c r="I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4" customHeight="1">
      <x:c r="A24" s="2" t="str">
        <x:v>Weight total</x:v>
      </x:c>
      <x:c r="B24" s="11" t="n">
        <x:f>SUM(B5:H5)</x:f>
        <x:v>1</x:v>
      </x:c>
      <x:c r="C24" s="2" t="str">
        <x:f>IF(ABS(B24-1)&lt;0.000001,"Theo yêu cầu","Kiểm tra weights")</x:f>
        <x:v>Theo yêu cầu</x:v>
      </x:c>
      <x:c r="D24" s="2"/>
      <x:c r="E24" s="2"/>
      <x:c r="F24" s="2"/>
      <x:c r="G24" s="2"/>
      <x:c r="H24" s="2"/>
      <x:c r="I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63D5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9" hidden="0" customWidth="1"/>
    <x:col min="3" max="3" width="30" hidden="0" customWidth="1"/>
    <x:col min="4" max="4" width="12" hidden="0" customWidth="1"/>
    <x:col min="5" max="5" width="54" hidden="0" customWidth="1"/>
    <x:col min="6" max="6" width="55" hidden="0" customWidth="1"/>
    <x:col min="7" max="7" width="52" hidden="0" customWidth="1"/>
    <x:col min="8" max="8" width="52" hidden="0" customWidth="1"/>
    <x:col min="9" max="9" width="3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Score-level evidence and rationale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 t="str">
        <x:v>42 score records | Static artifacts; không có demonstrated learner mastery.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5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8" customHeight="1">
      <x:c r="A6" s="28" t="str">
        <x:v>ID</x:v>
      </x:c>
      <x:c r="B6" s="28" t="str">
        <x:v>Module</x:v>
      </x:c>
      <x:c r="C6" s="28" t="str">
        <x:v>Dimension</x:v>
      </x:c>
      <x:c r="D6" s="28" t="str">
        <x:v>Score /5</x:v>
      </x:c>
      <x:c r="E6" s="28" t="str">
        <x:v>Justification</x:v>
      </x:c>
      <x:c r="F6" s="28" t="str">
        <x:v>Evidence locator trong docs.zip</x:v>
      </x:c>
      <x:c r="G6" s="28" t="str">
        <x:v>Limitation</x:v>
      </x:c>
      <x:c r="H6" s="28" t="str">
        <x:v>Điều gì thay đổi điểm</x:v>
      </x:c>
      <x:c r="I6" s="28" t="str">
        <x:v>Confidence</x:v>
      </x:c>
    </x:row>
    <x:row r="7" ht="70" customHeight="1">
      <x:c r="A7" s="17" t="str">
        <x:v>R01</x:v>
      </x:c>
      <x:c r="B7" s="17" t="str">
        <x:v>M1</x:v>
      </x:c>
      <x:c r="C7" s="17" t="str">
        <x:v>A Conceptual Accuracy</x:v>
      </x:c>
      <x:c r="D7" s="30" t="n">
        <x:v>4</x:v>
      </x:c>
      <x:c r="E7" s="17" t="str">
        <x:v>Đúng assessed/eligible, coverage và unknown; feedback chỉ rõ mẫu số.</x:v>
      </x:c>
      <x:c r="F7" s="17" t="str">
        <x:v>docs/verification/module-one-checkpoint.md; docs/CROSS_MODULE_CONSISTENCY.md</x:v>
      </x:c>
      <x:c r="G7" s="17" t="str">
        <x:v>Chỉ bảng và nội dung công bố; thiếu implementation để đối chiếu mọi nhánh.</x:v>
      </x:c>
      <x:c r="H7" s="17" t="str">
        <x:v>Đối chiếu source/datasets và kiểm case mới; hạ nếu engine vi phạm định nghĩa.</x:v>
      </x:c>
      <x:c r="I7" s="17" t="str">
        <x:v>Provisional: static design review</x:v>
      </x:c>
    </x:row>
    <x:row r="8" ht="70" customHeight="1">
      <x:c r="A8" s="17" t="str">
        <x:v>R02</x:v>
      </x:c>
      <x:c r="B8" s="17" t="str">
        <x:v>M1</x:v>
      </x:c>
      <x:c r="C8" s="17" t="str">
        <x:v>B Assessment Validity</x:v>
      </x:c>
      <x:c r="D8" s="30" t="n">
        <x:v>2</x:v>
      </x:c>
      <x:c r="E8" s="17" t="str">
        <x:v>Chọn diễn giải từ ba phương án; transfer vẫn là tuần 2 của cùng bảng.</x:v>
      </x:c>
      <x:c r="F8" s="17" t="str">
        <x:v>docs/verification/module-one-checkpoint.md; docs/CROSS_MODULE_CONSISTENCY.md</x:v>
      </x:c>
      <x:c r="G8" s="17" t="str">
        <x:v>Chưa có response process hoặc item statistics của người học.</x:v>
      </x:c>
      <x:c r="H8" s="17" t="str">
        <x:v>Loại vị trí đáp án làm tín hiệu, thêm tự sinh lập luận và reviewer độc lập.</x:v>
      </x:c>
      <x:c r="I8" s="17" t="str">
        <x:v>Provisional: static design review</x:v>
      </x:c>
    </x:row>
    <x:row r="9" ht="70" customHeight="1">
      <x:c r="A9" s="17" t="str">
        <x:v>R03</x:v>
      </x:c>
      <x:c r="B9" s="17" t="str">
        <x:v>M1</x:v>
      </x:c>
      <x:c r="C9" s="17" t="str">
        <x:v>C Learning Transfer</x:v>
      </x:c>
      <x:c r="D9" s="30" t="n">
        <x:v>1.5</x:v>
      </x:c>
      <x:c r="E9" s="17" t="str">
        <x:v>Transfer đổi metric sang coverage nhưng vẫn tuần 2 của cùng bảng; chưa có unseen dataset.</x:v>
      </x:c>
      <x:c r="F9" s="17" t="str">
        <x:v>docs/verification/module-one-checkpoint.md; docs/CROSS_MODULE_CONSISTENCY.md</x:v>
      </x:c>
      <x:c r="G9" s="17" t="str">
        <x:v>Không có learner artifact trên unseen/delayed tasks.</x:v>
      </x:c>
      <x:c r="H9" s="17" t="str">
        <x:v>Quan sát lời giải mới sau bảy ngày, không dùng fixture hoặc đáp án đã học.</x:v>
      </x:c>
      <x:c r="I9" s="17" t="str">
        <x:v>Provisional: static design review</x:v>
      </x:c>
    </x:row>
    <x:row r="10" ht="70" customHeight="1">
      <x:c r="A10" s="17" t="str">
        <x:v>R04</x:v>
      </x:c>
      <x:c r="B10" s="17" t="str">
        <x:v>M1</x:v>
      </x:c>
      <x:c r="C10" s="17" t="str">
        <x:v>D Learning Experience</x:v>
      </x:c>
      <x:c r="D10" s="30" t="n">
        <x:v>3.5</x:v>
      </x:c>
      <x:c r="E10" s="17" t="str">
        <x:v>Có intuition, exploration, attempt, feedback; Chọn diễn giải từ ba phương án; transfer vẫn là tuần 2 của cùng bảng.</x:v>
      </x:c>
      <x:c r="F10" s="17" t="str">
        <x:v>docs/verification/module-one-checkpoint.md; docs/CROSS_MODULE_CONSISTENCY.md</x:v>
      </x:c>
      <x:c r="G10" s="17" t="str">
        <x:v>Không đo tải nhận thức, time-on-task hoặc lý do bỏ cuộc.</x:v>
      </x:c>
      <x:c r="H10" s="17" t="str">
        <x:v>Think-aloud cho thấy người mới hiểu mục đích, tự sửa được lỗi mà ít gợi ý hơn.</x:v>
      </x:c>
      <x:c r="I10" s="17" t="str">
        <x:v>Provisional: static design review</x:v>
      </x:c>
    </x:row>
    <x:row r="11" ht="70" customHeight="1">
      <x:c r="A11" s="17" t="str">
        <x:v>R05</x:v>
      </x:c>
      <x:c r="B11" s="17" t="str">
        <x:v>M1</x:v>
      </x:c>
      <x:c r="C11" s="17" t="str">
        <x:v>E Evidence Provenance</x:v>
      </x:c>
      <x:c r="D11" s="30" t="n">
        <x:v>4</x:v>
      </x:c>
      <x:c r="E11" s="17" t="str">
        <x:v>Weekly data được gọi simulated; output/activity không bị nâng thành learning outcome.</x:v>
      </x:c>
      <x:c r="F11" s="17" t="str">
        <x:v>docs/verification/module-one-checkpoint.md; docs/CROSS_MODULE_CONSISTENCY.md</x:v>
      </x:c>
      <x:c r="G11" s="17" t="str">
        <x:v>Chưa kiểm bytes, original curriculum hoặc nguồn nghiên cứu được dẫn gián tiếp.</x:v>
      </x:c>
      <x:c r="H11" s="17" t="str">
        <x:v>Cung cấp source originals, tái lập lineage và kiểm provenance qua tác vụ người học.</x:v>
      </x:c>
      <x:c r="I11" s="17" t="str">
        <x:v>Provisional: static design review</x:v>
      </x:c>
    </x:row>
    <x:row r="12" ht="70" customHeight="1">
      <x:c r="A12" s="17" t="str">
        <x:v>R06</x:v>
      </x:c>
      <x:c r="B12" s="17" t="str">
        <x:v>M1</x:v>
      </x:c>
      <x:c r="C12" s="17" t="str">
        <x:v>F UX &amp; Accessibility</x:v>
      </x:c>
      <x:c r="D12" s="30" t="n">
        <x:v>3</x:v>
      </x:c>
      <x:c r="E12" s="17" t="str">
        <x:v>Ảnh M1 feedback có units, scope và unknown labels; mobile có progress nhưng navigation cao.</x:v>
      </x:c>
      <x:c r="F12" s="17" t="str">
        <x:v>docs/verification/module-one-checkpoint.md; docs/CROSS_MODULE_CONSISTENCY.md</x:v>
      </x:c>
      <x:c r="G12" s="17" t="str">
        <x:v>Không có DOM, keyboard session, contrast đo được hoặc screen-reader run độc lập.</x:v>
      </x:c>
      <x:c r="H12" s="17" t="str">
        <x:v>Kiểm keyboard, focus, announcements, zoom/reflow và nhiệm vụ bảng trên mobile.</x:v>
      </x:c>
      <x:c r="I12" s="17" t="str">
        <x:v>Provisional: static design review</x:v>
      </x:c>
    </x:row>
    <x:row r="13" ht="70" customHeight="1">
      <x:c r="A13" s="17" t="str">
        <x:v>R07</x:v>
      </x:c>
      <x:c r="B13" s="17" t="str">
        <x:v>M1</x:v>
      </x:c>
      <x:c r="C13" s="17" t="str">
        <x:v>G Curriculum Alignment</x:v>
      </x:c>
      <x:c r="D13" s="30" t="n">
        <x:v>4</x:v>
      </x:c>
      <x:c r="E13" s="17" t="str">
        <x:v>Mapping ghi rõ supplement và optional M2/M3/M4; không thay bài sách.</x:v>
      </x:c>
      <x:c r="F13" s="17" t="str">
        <x:v>docs/verification/module-one-checkpoint.md; docs/CROSS_MODULE_CONSISTENCY.md</x:v>
      </x:c>
      <x:c r="G13" s="17" t="str">
        <x:v>Chưa có giáo trình, competency JSON/XLSX và bản kế hoạch gốc để so độc lập.</x:v>
      </x:c>
      <x:c r="H13" s="17" t="str">
        <x:v>Đối chiếu từng mục nguồn/rubric và workload thực tế; giữ advanced ngoài foundation gate.</x:v>
      </x:c>
      <x:c r="I13" s="17" t="str">
        <x:v>Provisional: static design review</x:v>
      </x:c>
    </x:row>
    <x:row r="14" ht="70" customHeight="1">
      <x:c r="A14" s="17" t="str">
        <x:v>R08</x:v>
      </x:c>
      <x:c r="B14" s="17" t="str">
        <x:v>M2</x:v>
      </x:c>
      <x:c r="C14" s="17" t="str">
        <x:v>A Conceptual Accuracy</x:v>
      </x:c>
      <x:c r="D14" s="30" t="n">
        <x:v>4</x:v>
      </x:c>
      <x:c r="E14" s="17" t="str">
        <x:v>Ordered distinct-user funnel, deduplication và cửa sổ đủ quan sát được định nghĩa.</x:v>
      </x:c>
      <x:c r="F14" s="17" t="str">
        <x:v>docs/MODULE_2_DATA.md</x:v>
      </x:c>
      <x:c r="G14" s="17" t="str">
        <x:v>Chỉ bảng và nội dung công bố; thiếu implementation để đối chiếu mọi nhánh.</x:v>
      </x:c>
      <x:c r="H14" s="17" t="str">
        <x:v>Đối chiếu source/datasets và kiểm case mới; hạ nếu engine vi phạm định nghĩa.</x:v>
      </x:c>
      <x:c r="I14" s="17" t="str">
        <x:v>Provisional: static design review</x:v>
      </x:c>
    </x:row>
    <x:row r="15" ht="70" customHeight="1">
      <x:c r="A15" s="17" t="str">
        <x:v>R09</x:v>
      </x:c>
      <x:c r="B15" s="17" t="str">
        <x:v>M2</x:v>
      </x:c>
      <x:c r="C15" s="17" t="str">
        <x:v>B Assessment Validity</x:v>
      </x:c>
      <x:c r="D15" s="30" t="n">
        <x:v>2</x:v>
      </x:c>
      <x:c r="E15" s="17" t="str">
        <x:v>Transfer chỉ đổi mẫu số 6 sang 8 trên cùng đường đi; chưa buộc tự xử lý event log mới.</x:v>
      </x:c>
      <x:c r="F15" s="17" t="str">
        <x:v>docs/MODULE_2_DATA.md</x:v>
      </x:c>
      <x:c r="G15" s="17" t="str">
        <x:v>Chưa có response process hoặc item statistics của người học.</x:v>
      </x:c>
      <x:c r="H15" s="17" t="str">
        <x:v>Loại vị trí đáp án làm tín hiệu, thêm tự sinh lập luận và reviewer độc lập.</x:v>
      </x:c>
      <x:c r="I15" s="17" t="str">
        <x:v>Provisional: static design review</x:v>
      </x:c>
    </x:row>
    <x:row r="16" ht="70" customHeight="1">
      <x:c r="A16" s="17" t="str">
        <x:v>R10</x:v>
      </x:c>
      <x:c r="B16" s="17" t="str">
        <x:v>M2</x:v>
      </x:c>
      <x:c r="C16" s="17" t="str">
        <x:v>C Learning Transfer</x:v>
      </x:c>
      <x:c r="D16" s="30" t="n">
        <x:v>1.5</x:v>
      </x:c>
      <x:c r="E16" s="17" t="str">
        <x:v>Transfer đổi previous-step sang entrant denominator trên cùng 8→6→4 path, chưa tự dựng log mới.</x:v>
      </x:c>
      <x:c r="F16" s="17" t="str">
        <x:v>docs/MODULE_2_DATA.md</x:v>
      </x:c>
      <x:c r="G16" s="17" t="str">
        <x:v>Không có learner artifact trên unseen/delayed tasks.</x:v>
      </x:c>
      <x:c r="H16" s="17" t="str">
        <x:v>Quan sát lời giải mới sau bảy ngày, không dùng fixture hoặc đáp án đã học.</x:v>
      </x:c>
      <x:c r="I16" s="17" t="str">
        <x:v>Provisional: static design review</x:v>
      </x:c>
    </x:row>
    <x:row r="17" ht="70" customHeight="1">
      <x:c r="A17" s="17" t="str">
        <x:v>R11</x:v>
      </x:c>
      <x:c r="B17" s="17" t="str">
        <x:v>M2</x:v>
      </x:c>
      <x:c r="C17" s="17" t="str">
        <x:v>D Learning Experience</x:v>
      </x:c>
      <x:c r="D17" s="30" t="n">
        <x:v>3.5</x:v>
      </x:c>
      <x:c r="E17" s="17" t="str">
        <x:v>Có intuition, exploration, attempt, feedback; Transfer chỉ đổi mẫu số 6 sang 8 trên cùng đường đi; chưa buộc tự xử lý event log mới.</x:v>
      </x:c>
      <x:c r="F17" s="17" t="str">
        <x:v>docs/MODULE_2_DATA.md</x:v>
      </x:c>
      <x:c r="G17" s="17" t="str">
        <x:v>Không đo tải nhận thức, time-on-task hoặc lý do bỏ cuộc.</x:v>
      </x:c>
      <x:c r="H17" s="17" t="str">
        <x:v>Think-aloud cho thấy người mới hiểu mục đích, tự sửa được lỗi mà ít gợi ý hơn.</x:v>
      </x:c>
      <x:c r="I17" s="17" t="str">
        <x:v>Provisional: static design review</x:v>
      </x:c>
    </x:row>
    <x:row r="18" ht="70" customHeight="1">
      <x:c r="A18" s="17" t="str">
        <x:v>R12</x:v>
      </x:c>
      <x:c r="B18" s="17" t="str">
        <x:v>M2</x:v>
      </x:c>
      <x:c r="C18" s="17" t="str">
        <x:v>E Evidence Provenance</x:v>
      </x:c>
      <x:c r="D18" s="30" t="n">
        <x:v>4</x:v>
      </x:c>
      <x:c r="E18" s="17" t="str">
        <x:v>events-v1 được khai authored synthetic, khác research records; dictionary và event treatment rõ.</x:v>
      </x:c>
      <x:c r="F18" s="17" t="str">
        <x:v>docs/MODULE_2_DATA.md</x:v>
      </x:c>
      <x:c r="G18" s="17" t="str">
        <x:v>Chưa kiểm bytes, original curriculum hoặc nguồn nghiên cứu được dẫn gián tiếp.</x:v>
      </x:c>
      <x:c r="H18" s="17" t="str">
        <x:v>Cung cấp source originals, tái lập lineage và kiểm provenance qua tác vụ người học.</x:v>
      </x:c>
      <x:c r="I18" s="17" t="str">
        <x:v>Provisional: static design review</x:v>
      </x:c>
    </x:row>
    <x:row r="19" ht="70" customHeight="1">
      <x:c r="A19" s="17" t="str">
        <x:v>R13</x:v>
      </x:c>
      <x:c r="B19" s="17" t="str">
        <x:v>M2</x:v>
      </x:c>
      <x:c r="C19" s="17" t="str">
        <x:v>F UX &amp; Accessibility</x:v>
      </x:c>
      <x:c r="D19" s="30" t="n">
        <x:v>3</x:v>
      </x:c>
      <x:c r="E19" s="17" t="str">
        <x:v>Ảnh M2 có fixed scope và denominator feedback; event audit/keyboard mới do developer báo.</x:v>
      </x:c>
      <x:c r="F19" s="17" t="str">
        <x:v>docs/MODULE_2_DATA.md</x:v>
      </x:c>
      <x:c r="G19" s="17" t="str">
        <x:v>Không có DOM, keyboard session, contrast đo được hoặc screen-reader run độc lập.</x:v>
      </x:c>
      <x:c r="H19" s="17" t="str">
        <x:v>Kiểm keyboard, focus, announcements, zoom/reflow và nhiệm vụ bảng trên mobile.</x:v>
      </x:c>
      <x:c r="I19" s="17" t="str">
        <x:v>Provisional: static design review</x:v>
      </x:c>
    </x:row>
    <x:row r="20" ht="70" customHeight="1">
      <x:c r="A20" s="17" t="str">
        <x:v>R14</x:v>
      </x:c>
      <x:c r="B20" s="17" t="str">
        <x:v>M2</x:v>
      </x:c>
      <x:c r="C20" s="17" t="str">
        <x:v>G Curriculum Alignment</x:v>
      </x:c>
      <x:c r="D20" s="30" t="n">
        <x:v>3.5</x:v>
      </x:c>
      <x:c r="E20" s="17" t="str">
        <x:v>Mapping bảo vệ original foundation tasks và ghi optional extension; alignment mới ở level concept anchors, không phải source-rubric fidelity đã đối chiếu.</x:v>
      </x:c>
      <x:c r="F20" s="17" t="str">
        <x:v>docs/MODULE_2_DATA.md</x:v>
      </x:c>
      <x:c r="G20" s="17" t="str">
        <x:v>Chưa có giáo trình, competency JSON/XLSX và bản kế hoạch gốc để so độc lập.</x:v>
      </x:c>
      <x:c r="H20" s="17" t="str">
        <x:v>Đối chiếu từng mục nguồn/rubric và workload thực tế; giữ advanced ngoài foundation gate.</x:v>
      </x:c>
      <x:c r="I20" s="17" t="str">
        <x:v>Provisional: static design review</x:v>
      </x:c>
    </x:row>
    <x:row r="21" ht="70" customHeight="1">
      <x:c r="A21" s="17" t="str">
        <x:v>R15</x:v>
      </x:c>
      <x:c r="B21" s="17" t="str">
        <x:v>M3</x:v>
      </x:c>
      <x:c r="C21" s="17" t="str">
        <x:v>A Conceptual Accuracy</x:v>
      </x:c>
      <x:c r="D21" s="30" t="n">
        <x:v>4</x:v>
      </x:c>
      <x:c r="E21" s="17" t="str">
        <x:v>D7 half-open, cohort maturity, pooled counts và null/zero được tách.</x:v>
      </x:c>
      <x:c r="F21" s="17" t="str">
        <x:v>docs/MODULE_3_DATA.md:5–45</x:v>
      </x:c>
      <x:c r="G21" s="17" t="str">
        <x:v>Chỉ bảng và nội dung công bố; thiếu implementation để đối chiếu mọi nhánh.</x:v>
      </x:c>
      <x:c r="H21" s="17" t="str">
        <x:v>Đối chiếu source/datasets và kiểm case mới; hạ nếu engine vi phạm định nghĩa.</x:v>
      </x:c>
      <x:c r="I21" s="17" t="str">
        <x:v>Provisional: static design review</x:v>
      </x:c>
    </x:row>
    <x:row r="22" ht="70" customHeight="1">
      <x:c r="A22" s="17" t="str">
        <x:v>R16</x:v>
      </x:c>
      <x:c r="B22" s="17" t="str">
        <x:v>M3</x:v>
      </x:c>
      <x:c r="C22" s="17" t="str">
        <x:v>B Assessment Validity</x:v>
      </x:c>
      <x:c r="D22" s="30" t="n">
        <x:v>2</x:v>
      </x:c>
      <x:c r="E22" s="17" t="str">
        <x:v>Transfer lặp cohort trong cùng fixture; không thực tính unequal-size pooling trong phần numeric.</x:v>
      </x:c>
      <x:c r="F22" s="17" t="str">
        <x:v>docs/MODULE_3_DATA.md:5–45</x:v>
      </x:c>
      <x:c r="G22" s="17" t="str">
        <x:v>Chưa có response process hoặc item statistics của người học.</x:v>
      </x:c>
      <x:c r="H22" s="17" t="str">
        <x:v>Loại vị trí đáp án làm tín hiệu, thêm tự sinh lập luận và reviewer độc lập.</x:v>
      </x:c>
      <x:c r="I22" s="17" t="str">
        <x:v>Provisional: static design review</x:v>
      </x:c>
    </x:row>
    <x:row r="23" ht="70" customHeight="1">
      <x:c r="A23" s="17" t="str">
        <x:v>R17</x:v>
      </x:c>
      <x:c r="B23" s="17" t="str">
        <x:v>M3</x:v>
      </x:c>
      <x:c r="C23" s="17" t="str">
        <x:v>C Learning Transfer</x:v>
      </x:c>
      <x:c r="D23" s="30" t="n">
        <x:v>1.5</x:v>
      </x:c>
      <x:c r="E23" s="17" t="str">
        <x:v>Transfer đổi cohort Oct8 và chọn cách pooling; numeric chưa buộc tính unequal-size case mới.</x:v>
      </x:c>
      <x:c r="F23" s="17" t="str">
        <x:v>docs/MODULE_3_DATA.md:5–45</x:v>
      </x:c>
      <x:c r="G23" s="17" t="str">
        <x:v>Không có learner artifact trên unseen/delayed tasks.</x:v>
      </x:c>
      <x:c r="H23" s="17" t="str">
        <x:v>Quan sát lời giải mới sau bảy ngày, không dùng fixture hoặc đáp án đã học.</x:v>
      </x:c>
      <x:c r="I23" s="17" t="str">
        <x:v>Provisional: static design review</x:v>
      </x:c>
    </x:row>
    <x:row r="24" ht="70" customHeight="1">
      <x:c r="A24" s="17" t="str">
        <x:v>R18</x:v>
      </x:c>
      <x:c r="B24" s="17" t="str">
        <x:v>M3</x:v>
      </x:c>
      <x:c r="C24" s="17" t="str">
        <x:v>D Learning Experience</x:v>
      </x:c>
      <x:c r="D24" s="30" t="n">
        <x:v>3.5</x:v>
      </x:c>
      <x:c r="E24" s="17" t="str">
        <x:v>Có intuition, exploration, attempt, feedback; Transfer lặp cohort trong cùng fixture; không thực tính unequal-size pooling trong phần numeric.</x:v>
      </x:c>
      <x:c r="F24" s="17" t="str">
        <x:v>docs/MODULE_3_DATA.md:5–45</x:v>
      </x:c>
      <x:c r="G24" s="17" t="str">
        <x:v>Không đo tải nhận thức, time-on-task hoặc lý do bỏ cuộc.</x:v>
      </x:c>
      <x:c r="H24" s="17" t="str">
        <x:v>Think-aloud cho thấy người mới hiểu mục đích, tự sửa được lỗi mà ít gợi ý hơn.</x:v>
      </x:c>
      <x:c r="I24" s="17" t="str">
        <x:v>Provisional: static design review</x:v>
      </x:c>
    </x:row>
    <x:row r="25" ht="70" customHeight="1">
      <x:c r="A25" s="17" t="str">
        <x:v>R19</x:v>
      </x:c>
      <x:c r="B25" s="17" t="str">
        <x:v>M3</x:v>
      </x:c>
      <x:c r="C25" s="17" t="str">
        <x:v>E Evidence Provenance</x:v>
      </x:c>
      <x:c r="D25" s="30" t="n">
        <x:v>4</x:v>
      </x:c>
      <x:c r="E25" s="17" t="str">
        <x:v>retention-only fork khai chính xác UPPER_BOUNDARY đổi user_id; không giả cùng fixture với M2.</x:v>
      </x:c>
      <x:c r="F25" s="17" t="str">
        <x:v>docs/MODULE_3_DATA.md:5–45</x:v>
      </x:c>
      <x:c r="G25" s="17" t="str">
        <x:v>Chưa kiểm bytes, original curriculum hoặc nguồn nghiên cứu được dẫn gián tiếp.</x:v>
      </x:c>
      <x:c r="H25" s="17" t="str">
        <x:v>Cung cấp source originals, tái lập lineage và kiểm provenance qua tác vụ người học.</x:v>
      </x:c>
      <x:c r="I25" s="17" t="str">
        <x:v>Provisional: static design review</x:v>
      </x:c>
    </x:row>
    <x:row r="26" ht="70" customHeight="1">
      <x:c r="A26" s="17" t="str">
        <x:v>R20</x:v>
      </x:c>
      <x:c r="B26" s="17" t="str">
        <x:v>M3</x:v>
      </x:c>
      <x:c r="C26" s="17" t="str">
        <x:v>F UX &amp; Accessibility</x:v>
      </x:c>
      <x:c r="D26" s="30" t="n">
        <x:v>3</x:v>
      </x:c>
      <x:c r="E26" s="17" t="str">
        <x:v>Ảnh timeline có cutoff, D7 interval, hatching và unavailable; chưa có independent AT run.</x:v>
      </x:c>
      <x:c r="F26" s="17" t="str">
        <x:v>docs/MODULE_3_DATA.md:5–45</x:v>
      </x:c>
      <x:c r="G26" s="17" t="str">
        <x:v>Không có DOM, keyboard session, contrast đo được hoặc screen-reader run độc lập.</x:v>
      </x:c>
      <x:c r="H26" s="17" t="str">
        <x:v>Kiểm keyboard, focus, announcements, zoom/reflow và nhiệm vụ bảng trên mobile.</x:v>
      </x:c>
      <x:c r="I26" s="17" t="str">
        <x:v>Provisional: static design review</x:v>
      </x:c>
    </x:row>
    <x:row r="27" ht="70" customHeight="1">
      <x:c r="A27" s="17" t="str">
        <x:v>R21</x:v>
      </x:c>
      <x:c r="B27" s="17" t="str">
        <x:v>M3</x:v>
      </x:c>
      <x:c r="C27" s="17" t="str">
        <x:v>G Curriculum Alignment</x:v>
      </x:c>
      <x:c r="D27" s="30" t="n">
        <x:v>3.5</x:v>
      </x:c>
      <x:c r="E27" s="17" t="str">
        <x:v>Mapping bảo vệ original foundation tasks và ghi optional extension; alignment mới ở level concept anchors, không phải source-rubric fidelity đã đối chiếu.</x:v>
      </x:c>
      <x:c r="F27" s="17" t="str">
        <x:v>docs/MODULE_3_DATA.md:5–45</x:v>
      </x:c>
      <x:c r="G27" s="17" t="str">
        <x:v>Chưa có giáo trình, competency JSON/XLSX và bản kế hoạch gốc để so độc lập.</x:v>
      </x:c>
      <x:c r="H27" s="17" t="str">
        <x:v>Đối chiếu từng mục nguồn/rubric và workload thực tế; giữ advanced ngoài foundation gate.</x:v>
      </x:c>
      <x:c r="I27" s="17" t="str">
        <x:v>Provisional: static design review</x:v>
      </x:c>
    </x:row>
    <x:row r="28" ht="70" customHeight="1">
      <x:c r="A28" s="17" t="str">
        <x:v>R22</x:v>
      </x:c>
      <x:c r="B28" s="17" t="str">
        <x:v>M4</x:v>
      </x:c>
      <x:c r="C28" s="17" t="str">
        <x:v>A Conceptual Accuracy</x:v>
      </x:c>
      <x:c r="D28" s="30" t="n">
        <x:v>4</x:v>
      </x:c>
      <x:c r="E28" s="17" t="str">
        <x:v>Strict reversal khác composition-only; pp khác relative change; reweighting không thành causal effect.</x:v>
      </x:c>
      <x:c r="F28" s="17" t="str">
        <x:v>docs/MODULE_4_DATA.md:5–54</x:v>
      </x:c>
      <x:c r="G28" s="17" t="str">
        <x:v>Chỉ bảng và nội dung công bố; thiếu implementation để đối chiếu mọi nhánh.</x:v>
      </x:c>
      <x:c r="H28" s="17" t="str">
        <x:v>Đối chiếu source/datasets và kiểm case mới; hạ nếu engine vi phạm định nghĩa.</x:v>
      </x:c>
      <x:c r="I28" s="17" t="str">
        <x:v>Provisional: static design review</x:v>
      </x:c>
    </x:row>
    <x:row r="29" ht="70" customHeight="1">
      <x:c r="A29" s="17" t="str">
        <x:v>R23</x:v>
      </x:c>
      <x:c r="B29" s="17" t="str">
        <x:v>M4</x:v>
      </x:c>
      <x:c r="C29" s="17" t="str">
        <x:v>B Assessment Validity</x:v>
      </x:c>
      <x:c r="D29" s="30" t="n">
        <x:v>2</x:v>
      </x:c>
      <x:c r="E29" s="17" t="str">
        <x:v>Transfer 9/10 đã nằm trong bảng; correct option đầu và distractor cực đoan.</x:v>
      </x:c>
      <x:c r="F29" s="17" t="str">
        <x:v>docs/MODULE_4_DATA.md:5–54</x:v>
      </x:c>
      <x:c r="G29" s="17" t="str">
        <x:v>Chưa có response process hoặc item statistics của người học.</x:v>
      </x:c>
      <x:c r="H29" s="17" t="str">
        <x:v>Loại vị trí đáp án làm tín hiệu, thêm tự sinh lập luận và reviewer độc lập.</x:v>
      </x:c>
      <x:c r="I29" s="17" t="str">
        <x:v>Provisional: static design review</x:v>
      </x:c>
    </x:row>
    <x:row r="30" ht="70" customHeight="1">
      <x:c r="A30" s="17" t="str">
        <x:v>R24</x:v>
      </x:c>
      <x:c r="B30" s="17" t="str">
        <x:v>M4</x:v>
      </x:c>
      <x:c r="C30" s="17" t="str">
        <x:v>C Learning Transfer</x:v>
      </x:c>
      <x:c r="D30" s="30" t="n">
        <x:v>1.5</x:v>
      </x:c>
      <x:c r="E30" s="17" t="str">
        <x:v>Transfer lấy B experienced9/10 và common weights có sẵn; chưa phải tự tìm reversal mới.</x:v>
      </x:c>
      <x:c r="F30" s="17" t="str">
        <x:v>docs/MODULE_4_DATA.md:5–54</x:v>
      </x:c>
      <x:c r="G30" s="17" t="str">
        <x:v>Không có learner artifact trên unseen/delayed tasks.</x:v>
      </x:c>
      <x:c r="H30" s="17" t="str">
        <x:v>Quan sát lời giải mới sau bảy ngày, không dùng fixture hoặc đáp án đã học.</x:v>
      </x:c>
      <x:c r="I30" s="17" t="str">
        <x:v>Provisional: static design review</x:v>
      </x:c>
    </x:row>
    <x:row r="31" ht="70" customHeight="1">
      <x:c r="A31" s="17" t="str">
        <x:v>R25</x:v>
      </x:c>
      <x:c r="B31" s="17" t="str">
        <x:v>M4</x:v>
      </x:c>
      <x:c r="C31" s="17" t="str">
        <x:v>D Learning Experience</x:v>
      </x:c>
      <x:c r="D31" s="30" t="n">
        <x:v>3.5</x:v>
      </x:c>
      <x:c r="E31" s="17" t="str">
        <x:v>Có intuition, exploration, attempt, feedback; Transfer 9/10 đã nằm trong bảng; correct option đầu và distractor cực đoan.</x:v>
      </x:c>
      <x:c r="F31" s="17" t="str">
        <x:v>docs/MODULE_4_DATA.md:5–54</x:v>
      </x:c>
      <x:c r="G31" s="17" t="str">
        <x:v>Không đo tải nhận thức, time-on-task hoặc lý do bỏ cuộc.</x:v>
      </x:c>
      <x:c r="H31" s="17" t="str">
        <x:v>Think-aloud cho thấy người mới hiểu mục đích, tự sửa được lỗi mà ít gợi ý hơn.</x:v>
      </x:c>
      <x:c r="I31" s="17" t="str">
        <x:v>Provisional: static design review</x:v>
      </x:c>
    </x:row>
    <x:row r="32" ht="70" customHeight="1">
      <x:c r="A32" s="17" t="str">
        <x:v>R26</x:v>
      </x:c>
      <x:c r="B32" s="17" t="str">
        <x:v>M4</x:v>
      </x:c>
      <x:c r="C32" s="17" t="str">
        <x:v>E Evidence Provenance</x:v>
      </x:c>
      <x:c r="D32" s="30" t="n">
        <x:v>4.5</x:v>
      </x:c>
      <x:c r="E32" s="17" t="str">
        <x:v>Strict Simpson fixture tách composition-only source; common-mix chart ghi illustration, not experiment.</x:v>
      </x:c>
      <x:c r="F32" s="17" t="str">
        <x:v>docs/MODULE_4_DATA.md:5–54</x:v>
      </x:c>
      <x:c r="G32" s="17" t="str">
        <x:v>Chưa kiểm bytes, original curriculum hoặc nguồn nghiên cứu được dẫn gián tiếp.</x:v>
      </x:c>
      <x:c r="H32" s="17" t="str">
        <x:v>Cung cấp source originals, tái lập lineage và kiểm provenance qua tác vụ người học.</x:v>
      </x:c>
      <x:c r="I32" s="17" t="str">
        <x:v>Provisional: static design review</x:v>
      </x:c>
    </x:row>
    <x:row r="33" ht="70" customHeight="1">
      <x:c r="A33" s="17" t="str">
        <x:v>R27</x:v>
      </x:c>
      <x:c r="B33" s="17" t="str">
        <x:v>M4</x:v>
      </x:c>
      <x:c r="C33" s="17" t="str">
        <x:v>F UX &amp; Accessibility</x:v>
      </x:c>
      <x:c r="D33" s="30" t="n">
        <x:v>3</x:v>
      </x:c>
      <x:c r="E33" s="17" t="str">
        <x:v>Ảnh common-mix có explicit rates và illustrative label; cần kiểm sliders và text alternatives runtime.</x:v>
      </x:c>
      <x:c r="F33" s="17" t="str">
        <x:v>docs/MODULE_4_DATA.md:5–54</x:v>
      </x:c>
      <x:c r="G33" s="17" t="str">
        <x:v>Không có DOM, keyboard session, contrast đo được hoặc screen-reader run độc lập.</x:v>
      </x:c>
      <x:c r="H33" s="17" t="str">
        <x:v>Kiểm keyboard, focus, announcements, zoom/reflow và nhiệm vụ bảng trên mobile.</x:v>
      </x:c>
      <x:c r="I33" s="17" t="str">
        <x:v>Provisional: static design review</x:v>
      </x:c>
    </x:row>
    <x:row r="34" ht="70" customHeight="1">
      <x:c r="A34" s="17" t="str">
        <x:v>R28</x:v>
      </x:c>
      <x:c r="B34" s="17" t="str">
        <x:v>M4</x:v>
      </x:c>
      <x:c r="C34" s="17" t="str">
        <x:v>G Curriculum Alignment</x:v>
      </x:c>
      <x:c r="D34" s="30" t="n">
        <x:v>3.5</x:v>
      </x:c>
      <x:c r="E34" s="17" t="str">
        <x:v>Mapping bảo vệ original foundation tasks và ghi optional extension; alignment mới ở level concept anchors, không phải source-rubric fidelity đã đối chiếu.</x:v>
      </x:c>
      <x:c r="F34" s="17" t="str">
        <x:v>docs/MODULE_4_DATA.md:5–54</x:v>
      </x:c>
      <x:c r="G34" s="17" t="str">
        <x:v>Chưa có giáo trình, competency JSON/XLSX và bản kế hoạch gốc để so độc lập.</x:v>
      </x:c>
      <x:c r="H34" s="17" t="str">
        <x:v>Đối chiếu từng mục nguồn/rubric và workload thực tế; giữ advanced ngoài foundation gate.</x:v>
      </x:c>
      <x:c r="I34" s="17" t="str">
        <x:v>Provisional: static design review</x:v>
      </x:c>
    </x:row>
    <x:row r="35" ht="70" customHeight="1">
      <x:c r="A35" s="17" t="str">
        <x:v>R29</x:v>
      </x:c>
      <x:c r="B35" s="17" t="str">
        <x:v>M5</x:v>
      </x:c>
      <x:c r="C35" s="17" t="str">
        <x:v>A Conceptual Accuracy</x:v>
      </x:c>
      <x:c r="D35" s="30" t="n">
        <x:v>4</x:v>
      </x:c>
      <x:c r="E35" s="17" t="str">
        <x:v>Tách activity/outcome, nonresponse/censoring và proposed/executed study.</x:v>
      </x:c>
      <x:c r="F35" s="17" t="str">
        <x:v>docs/MODULE_5_DATA.md; docs/verification/module-five-checkpoint.md:9–42</x:v>
      </x:c>
      <x:c r="G35" s="17" t="str">
        <x:v>Chỉ bảng và nội dung công bố; thiếu implementation để đối chiếu mọi nhánh.</x:v>
      </x:c>
      <x:c r="H35" s="17" t="str">
        <x:v>Đối chiếu source/datasets và kiểm case mới; hạ nếu engine vi phạm định nghĩa.</x:v>
      </x:c>
      <x:c r="I35" s="17" t="str">
        <x:v>Provisional: static design review</x:v>
      </x:c>
    </x:row>
    <x:row r="36" ht="70" customHeight="1">
      <x:c r="A36" s="17" t="str">
        <x:v>R30</x:v>
      </x:c>
      <x:c r="B36" s="17" t="str">
        <x:v>M5</x:v>
      </x:c>
      <x:c r="C36" s="17" t="str">
        <x:v>B Assessment Validity</x:v>
      </x:c>
      <x:c r="D36" s="30" t="n">
        <x:v>2</x:v>
      </x:c>
      <x:c r="E36" s="17" t="str">
        <x:v>Chủ yếu nhận ra câu causal sai; chưa tự lập contrast và định lượng missingness sensitivity.</x:v>
      </x:c>
      <x:c r="F36" s="17" t="str">
        <x:v>docs/MODULE_5_DATA.md; docs/verification/module-five-checkpoint.md:9–42</x:v>
      </x:c>
      <x:c r="G36" s="17" t="str">
        <x:v>Chưa có response process hoặc item statistics của người học.</x:v>
      </x:c>
      <x:c r="H36" s="17" t="str">
        <x:v>Loại vị trí đáp án làm tín hiệu, thêm tự sinh lập luận và reviewer độc lập.</x:v>
      </x:c>
      <x:c r="I36" s="17" t="str">
        <x:v>Provisional: static design review</x:v>
      </x:c>
    </x:row>
    <x:row r="37" ht="70" customHeight="1">
      <x:c r="A37" s="17" t="str">
        <x:v>R31</x:v>
      </x:c>
      <x:c r="B37" s="17" t="str">
        <x:v>M5</x:v>
      </x:c>
      <x:c r="C37" s="17" t="str">
        <x:v>C Learning Transfer</x:v>
      </x:c>
      <x:c r="D37" s="30" t="n">
        <x:v>2</x:v>
      </x:c>
      <x:c r="E37" s="17" t="str">
        <x:v>Transfer xử lý missing outcomes và investigation trong cùng weekly CSV; chưa có randomized positive-control.</x:v>
      </x:c>
      <x:c r="F37" s="17" t="str">
        <x:v>docs/MODULE_5_DATA.md; docs/verification/module-five-checkpoint.md:9–42</x:v>
      </x:c>
      <x:c r="G37" s="17" t="str">
        <x:v>Không có learner artifact trên unseen/delayed tasks.</x:v>
      </x:c>
      <x:c r="H37" s="17" t="str">
        <x:v>Quan sát lời giải mới sau bảy ngày, không dùng fixture hoặc đáp án đã học.</x:v>
      </x:c>
      <x:c r="I37" s="17" t="str">
        <x:v>Provisional: static design review</x:v>
      </x:c>
    </x:row>
    <x:row r="38" ht="70" customHeight="1">
      <x:c r="A38" s="17" t="str">
        <x:v>R32</x:v>
      </x:c>
      <x:c r="B38" s="17" t="str">
        <x:v>M5</x:v>
      </x:c>
      <x:c r="C38" s="17" t="str">
        <x:v>D Learning Experience</x:v>
      </x:c>
      <x:c r="D38" s="30" t="n">
        <x:v>3</x:v>
      </x:c>
      <x:c r="E38" s="17" t="str">
        <x:v>Có intuition, exploration, attempt, feedback; Chủ yếu nhận ra câu causal sai; chưa tự lập contrast và định lượng missingness sensitivity.</x:v>
      </x:c>
      <x:c r="F38" s="17" t="str">
        <x:v>docs/MODULE_5_DATA.md; docs/verification/module-five-checkpoint.md:9–42</x:v>
      </x:c>
      <x:c r="G38" s="17" t="str">
        <x:v>Không đo tải nhận thức, time-on-task hoặc lý do bỏ cuộc.</x:v>
      </x:c>
      <x:c r="H38" s="17" t="str">
        <x:v>Think-aloud cho thấy người mới hiểu mục đích, tự sửa được lỗi mà ít gợi ý hơn.</x:v>
      </x:c>
      <x:c r="I38" s="17" t="str">
        <x:v>Provisional: static design review</x:v>
      </x:c>
    </x:row>
    <x:row r="39" ht="70" customHeight="1">
      <x:c r="A39" s="17" t="str">
        <x:v>R33</x:v>
      </x:c>
      <x:c r="B39" s="17" t="str">
        <x:v>M5</x:v>
      </x:c>
      <x:c r="C39" s="17" t="str">
        <x:v>E Evidence Provenance</x:v>
      </x:c>
      <x:c r="D39" s="30" t="n">
        <x:v>4.5</x:v>
      </x:c>
      <x:c r="E39" s="17" t="str">
        <x:v>CSV simulated, arrows hypothetical; delayed comparator study là proposed, chưa executed.</x:v>
      </x:c>
      <x:c r="F39" s="17" t="str">
        <x:v>docs/MODULE_5_DATA.md; docs/verification/module-five-checkpoint.md:9–42</x:v>
      </x:c>
      <x:c r="G39" s="17" t="str">
        <x:v>Chưa kiểm bytes, original curriculum hoặc nguồn nghiên cứu được dẫn gián tiếp.</x:v>
      </x:c>
      <x:c r="H39" s="17" t="str">
        <x:v>Cung cấp source originals, tái lập lineage và kiểm provenance qua tác vụ người học.</x:v>
      </x:c>
      <x:c r="I39" s="17" t="str">
        <x:v>Provisional: static design review</x:v>
      </x:c>
    </x:row>
    <x:row r="40" ht="70" customHeight="1">
      <x:c r="A40" s="17" t="str">
        <x:v>R34</x:v>
      </x:c>
      <x:c r="B40" s="17" t="str">
        <x:v>M5</x:v>
      </x:c>
      <x:c r="C40" s="17" t="str">
        <x:v>F UX &amp; Accessibility</x:v>
      </x:c>
      <x:c r="D40" s="30" t="n">
        <x:v>3</x:v>
      </x:c>
      <x:c r="E40" s="17" t="str">
        <x:v>Map có dashed-arrow legend; mobile nav lớn, dashboard/design nhiều lớp cần usability test.</x:v>
      </x:c>
      <x:c r="F40" s="17" t="str">
        <x:v>docs/MODULE_5_DATA.md; docs/verification/module-five-checkpoint.md:9–42</x:v>
      </x:c>
      <x:c r="G40" s="17" t="str">
        <x:v>Không có DOM, keyboard session, contrast đo được hoặc screen-reader run độc lập.</x:v>
      </x:c>
      <x:c r="H40" s="17" t="str">
        <x:v>Kiểm keyboard, focus, announcements, zoom/reflow và nhiệm vụ bảng trên mobile.</x:v>
      </x:c>
      <x:c r="I40" s="17" t="str">
        <x:v>Provisional: static design review</x:v>
      </x:c>
    </x:row>
    <x:row r="41" ht="70" customHeight="1">
      <x:c r="A41" s="17" t="str">
        <x:v>R35</x:v>
      </x:c>
      <x:c r="B41" s="17" t="str">
        <x:v>M5</x:v>
      </x:c>
      <x:c r="C41" s="17" t="str">
        <x:v>G Curriculum Alignment</x:v>
      </x:c>
      <x:c r="D41" s="30" t="n">
        <x:v>4</x:v>
      </x:c>
      <x:c r="E41" s="17" t="str">
        <x:v>Mapping ghi rõ supplement và optional M2/M3/M4; không thay bài sách.</x:v>
      </x:c>
      <x:c r="F41" s="17" t="str">
        <x:v>docs/MODULE_5_DATA.md; docs/verification/module-five-checkpoint.md:9–42</x:v>
      </x:c>
      <x:c r="G41" s="17" t="str">
        <x:v>Chưa có giáo trình, competency JSON/XLSX và bản kế hoạch gốc để so độc lập.</x:v>
      </x:c>
      <x:c r="H41" s="17" t="str">
        <x:v>Đối chiếu từng mục nguồn/rubric và workload thực tế; giữ advanced ngoài foundation gate.</x:v>
      </x:c>
      <x:c r="I41" s="17" t="str">
        <x:v>Provisional: static design review</x:v>
      </x:c>
    </x:row>
    <x:row r="42" ht="70" customHeight="1">
      <x:c r="A42" s="17" t="str">
        <x:v>R36</x:v>
      </x:c>
      <x:c r="B42" s="17" t="str">
        <x:v>M6</x:v>
      </x:c>
      <x:c r="C42" s="17" t="str">
        <x:v>A Conceptual Accuracy</x:v>
      </x:c>
      <x:c r="D42" s="30" t="n">
        <x:v>4</x:v>
      </x:c>
      <x:c r="E42" s="17" t="str">
        <x:v>Nhiều chiến lược hợp lệ, role caps riêng, revision có thể giữ hướng, provenance rõ.</x:v>
      </x:c>
      <x:c r="F42" s="17" t="str">
        <x:v>docs/MODULE_6_SCENARIO.md:26–54; docs/MODULE_6_INSTRUCTOR.md:11–21</x:v>
      </x:c>
      <x:c r="G42" s="17" t="str">
        <x:v>Chỉ bảng và nội dung công bố; thiếu implementation để đối chiếu mọi nhánh.</x:v>
      </x:c>
      <x:c r="H42" s="17" t="str">
        <x:v>Đối chiếu source/datasets và kiểm case mới; hạ nếu engine vi phạm định nghĩa.</x:v>
      </x:c>
      <x:c r="I42" s="17" t="str">
        <x:v>Provisional: static design review</x:v>
      </x:c>
    </x:row>
    <x:row r="43" ht="70" customHeight="1">
      <x:c r="A43" s="17" t="str">
        <x:v>R37</x:v>
      </x:c>
      <x:c r="B43" s="17" t="str">
        <x:v>M6</x:v>
      </x:c>
      <x:c r="C43" s="17" t="str">
        <x:v>B Assessment Validity</x:v>
      </x:c>
      <x:c r="D43" s="30" t="n">
        <x:v>1.5</x:v>
      </x:c>
      <x:c r="E43" s="17" t="str">
        <x:v>10/10 là selected statements; memo chỉ nonblank/date; một variant tự chọn, vẫn cùng job.</x:v>
      </x:c>
      <x:c r="F43" s="17" t="str">
        <x:v>docs/MODULE_6_SCENARIO.md:26–54; docs/MODULE_6_INSTRUCTOR.md:11–21</x:v>
      </x:c>
      <x:c r="G43" s="17" t="str">
        <x:v>Chưa có response process hoặc item statistics của người học.</x:v>
      </x:c>
      <x:c r="H43" s="17" t="str">
        <x:v>Loại vị trí đáp án làm tín hiệu, thêm tự sinh lập luận và reviewer độc lập.</x:v>
      </x:c>
      <x:c r="I43" s="17" t="str">
        <x:v>Provisional: static design review</x:v>
      </x:c>
    </x:row>
    <x:row r="44" ht="70" customHeight="1">
      <x:c r="A44" s="17" t="str">
        <x:v>R38</x:v>
      </x:c>
      <x:c r="B44" s="17" t="str">
        <x:v>M6</x:v>
      </x:c>
      <x:c r="C44" s="17" t="str">
        <x:v>C Learning Transfer</x:v>
      </x:c>
      <x:c r="D44" s="30" t="n">
        <x:v>2.5</x:v>
      </x:c>
      <x:c r="E44" s="17" t="str">
        <x:v>Incumbent-success condition làm đổi investment implication; vẫn cùng job và selected rubric, chưa delayed unseen memo.</x:v>
      </x:c>
      <x:c r="F44" s="17" t="str">
        <x:v>docs/MODULE_6_SCENARIO.md:26–54; docs/MODULE_6_INSTRUCTOR.md:11–21</x:v>
      </x:c>
      <x:c r="G44" s="17" t="str">
        <x:v>Không có learner artifact trên unseen/delayed tasks.</x:v>
      </x:c>
      <x:c r="H44" s="17" t="str">
        <x:v>Quan sát lời giải mới sau bảy ngày, không dùng fixture hoặc đáp án đã học.</x:v>
      </x:c>
      <x:c r="I44" s="17" t="str">
        <x:v>Provisional: static design review</x:v>
      </x:c>
    </x:row>
    <x:row r="45" ht="70" customHeight="1">
      <x:c r="A45" s="17" t="str">
        <x:v>R39</x:v>
      </x:c>
      <x:c r="B45" s="17" t="str">
        <x:v>M6</x:v>
      </x:c>
      <x:c r="C45" s="17" t="str">
        <x:v>D Learning Experience</x:v>
      </x:c>
      <x:c r="D45" s="30" t="n">
        <x:v>3</x:v>
      </x:c>
      <x:c r="E45" s="17" t="str">
        <x:v>Có intuition, exploration, attempt, feedback; 10/10 là selected statements; memo chỉ nonblank/date; một variant tự chọn, vẫn cùng job.</x:v>
      </x:c>
      <x:c r="F45" s="17" t="str">
        <x:v>docs/MODULE_6_SCENARIO.md:26–54; docs/MODULE_6_INSTRUCTOR.md:11–21</x:v>
      </x:c>
      <x:c r="G45" s="17" t="str">
        <x:v>Không đo tải nhận thức, time-on-task hoặc lý do bỏ cuộc.</x:v>
      </x:c>
      <x:c r="H45" s="17" t="str">
        <x:v>Think-aloud cho thấy người mới hiểu mục đích, tự sửa được lỗi mà ít gợi ý hơn.</x:v>
      </x:c>
      <x:c r="I45" s="17" t="str">
        <x:v>Provisional: static design review</x:v>
      </x:c>
    </x:row>
    <x:row r="46" ht="70" customHeight="1">
      <x:c r="A46" s="17" t="str">
        <x:v>R40</x:v>
      </x:c>
      <x:c r="B46" s="17" t="str">
        <x:v>M6</x:v>
      </x:c>
      <x:c r="C46" s="17" t="str">
        <x:v>E Evidence Provenance</x:v>
      </x:c>
      <x:c r="D46" s="30" t="n">
        <x:v>4</x:v>
      </x:c>
      <x:c r="E46" s="17" t="str">
        <x:v>Source-report, audit observation và scenario assumptions tách; stipulated incumbent success không phải P1/P2 result.</x:v>
      </x:c>
      <x:c r="F46" s="17" t="str">
        <x:v>docs/MODULE_6_SCENARIO.md:26–54; docs/MODULE_6_INSTRUCTOR.md:11–21</x:v>
      </x:c>
      <x:c r="G46" s="17" t="str">
        <x:v>Chưa kiểm bytes, original curriculum hoặc nguồn nghiên cứu được dẫn gián tiếp.</x:v>
      </x:c>
      <x:c r="H46" s="17" t="str">
        <x:v>Cung cấp source originals, tái lập lineage và kiểm provenance qua tác vụ người học.</x:v>
      </x:c>
      <x:c r="I46" s="17" t="str">
        <x:v>Provisional: static design review</x:v>
      </x:c>
    </x:row>
    <x:row r="47" ht="70" customHeight="1">
      <x:c r="A47" s="17" t="str">
        <x:v>R41</x:v>
      </x:c>
      <x:c r="B47" s="17" t="str">
        <x:v>M6</x:v>
      </x:c>
      <x:c r="C47" s="17" t="str">
        <x:v>F UX &amp; Accessibility</x:v>
      </x:c>
      <x:c r="D47" s="30" t="n">
        <x:v>2.5</x:v>
      </x:c>
      <x:c r="E47" s="17" t="str">
        <x:v>Memo/feedback có labels và structured-points disclaimer; mobile comparison table cần cuộn qua nhiều chữ.</x:v>
      </x:c>
      <x:c r="F47" s="17" t="str">
        <x:v>docs/MODULE_6_SCENARIO.md:26–54; docs/MODULE_6_INSTRUCTOR.md:11–21</x:v>
      </x:c>
      <x:c r="G47" s="17" t="str">
        <x:v>Không có DOM, keyboard session, contrast đo được hoặc screen-reader run độc lập.</x:v>
      </x:c>
      <x:c r="H47" s="17" t="str">
        <x:v>Kiểm keyboard, focus, announcements, zoom/reflow và nhiệm vụ bảng trên mobile.</x:v>
      </x:c>
      <x:c r="I47" s="17" t="str">
        <x:v>Provisional: static design review</x:v>
      </x:c>
    </x:row>
    <x:row r="48" ht="70" customHeight="1">
      <x:c r="A48" s="17" t="str">
        <x:v>R42</x:v>
      </x:c>
      <x:c r="B48" s="17" t="str">
        <x:v>M6</x:v>
      </x:c>
      <x:c r="C48" s="17" t="str">
        <x:v>G Curriculum Alignment</x:v>
      </x:c>
      <x:c r="D48" s="30" t="n">
        <x:v>4</x:v>
      </x:c>
      <x:c r="E48" s="17" t="str">
        <x:v>Mapping ghi rõ supplement và optional M2/M3/M4; không thay bài sách.</x:v>
      </x:c>
      <x:c r="F48" s="17" t="str">
        <x:v>docs/MODULE_6_SCENARIO.md:26–54; docs/MODULE_6_INSTRUCTOR.md:11–21</x:v>
      </x:c>
      <x:c r="G48" s="17" t="str">
        <x:v>Chưa có giáo trình, competency JSON/XLSX và bản kế hoạch gốc để so độc lập.</x:v>
      </x:c>
      <x:c r="H48" s="17" t="str">
        <x:v>Đối chiếu từng mục nguồn/rubric và workload thực tế; giữ advanced ngoài foundation gate.</x:v>
      </x:c>
      <x:c r="I48" s="17" t="str">
        <x:v>Provisional: static design review</x:v>
      </x:c>
    </x:row>
  </x:sheetData>
  <x:dataValidations count="1">
    <x:dataValidation type="list" sqref="D7:D48">
      <x:formula1>"0,0.5,1,1.5,2,2.5,3,3.5,4,4.5,5"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9892bab58248bf"/>
  </x:tableParts>
</x:worksheet>
</file>